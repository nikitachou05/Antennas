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<sst xmlns="http://schemas.openxmlformats.org/spreadsheetml/2006/main" count="4" uniqueCount="2">
  <si>
    <t>Angle (in degrees)</t>
  </si>
  <si>
    <t>Directivity Measurements (in dBm)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</si>
</sst>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Directivity Measurements (in dBm) vs. Angle (in degrees)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1"/>
        </c:ser>
        <c:axId val="1868487565"/>
        <c:axId val="1433050308"/>
      </c:radarChart>
      <c:catAx>
        <c:axId val="1868487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Angle (in 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050308"/>
      </c:catAx>
      <c:valAx>
        <c:axId val="143305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Directivity Measurements (in dBm)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487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Directivity Measurements (in dBm) vs. Angle (in degrees)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Sheet2!$A$2:$A$9</c:f>
            </c:strRef>
          </c:cat>
          <c:val>
            <c:numRef>
              <c:f>Sheet2!$B$2:$B$9</c:f>
              <c:numCache/>
            </c:numRef>
          </c:val>
          <c:smooth val="1"/>
        </c:ser>
        <c:axId val="436376925"/>
        <c:axId val="1778616884"/>
      </c:radarChart>
      <c:catAx>
        <c:axId val="436376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Angle (in 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616884"/>
      </c:catAx>
      <c:valAx>
        <c:axId val="1778616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Directivity Measurements (in dBm)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376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2</xdr:row>
      <xdr:rowOff>171450</xdr:rowOff>
    </xdr:from>
    <xdr:ext cx="8115300" cy="3933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1</xdr:row>
      <xdr:rowOff>76200</xdr:rowOff>
    </xdr:from>
    <xdr:ext cx="78009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5"/>
    <col customWidth="1" min="3" max="3" width="24.88"/>
  </cols>
  <sheetData>
    <row r="1">
      <c r="A1" s="1" t="s">
        <v>0</v>
      </c>
      <c r="B1" s="1" t="s">
        <v>1</v>
      </c>
    </row>
    <row r="2">
      <c r="A2" s="1">
        <f>90</f>
        <v>90</v>
      </c>
      <c r="B2" s="2">
        <f>-54.5</f>
        <v>-54.5</v>
      </c>
    </row>
    <row r="3">
      <c r="A3" s="2">
        <f>45</f>
        <v>45</v>
      </c>
      <c r="B3" s="1">
        <f>-37.1</f>
        <v>-37.1</v>
      </c>
    </row>
    <row r="4">
      <c r="A4" s="2">
        <f>0</f>
        <v>0</v>
      </c>
      <c r="B4" s="1">
        <f>-40.2</f>
        <v>-40.2</v>
      </c>
    </row>
    <row r="5">
      <c r="A5" s="2">
        <f>315</f>
        <v>315</v>
      </c>
      <c r="B5" s="2">
        <f>-88.7</f>
        <v>-88.7</v>
      </c>
    </row>
    <row r="6">
      <c r="A6" s="2">
        <f>270</f>
        <v>270</v>
      </c>
      <c r="B6" s="2">
        <f>-88.9</f>
        <v>-88.9</v>
      </c>
    </row>
    <row r="7">
      <c r="A7" s="2">
        <f>225</f>
        <v>225</v>
      </c>
      <c r="B7" s="2">
        <f>-43.2</f>
        <v>-43.2</v>
      </c>
    </row>
    <row r="8">
      <c r="A8" s="2">
        <f>180</f>
        <v>180</v>
      </c>
      <c r="B8" s="2">
        <f>-53.7</f>
        <v>-53.7</v>
      </c>
    </row>
    <row r="9">
      <c r="A9" s="2">
        <f>135</f>
        <v>135</v>
      </c>
      <c r="B9" s="2">
        <f>-61.4</f>
        <v>-61.4</v>
      </c>
    </row>
    <row r="16">
      <c r="A16" s="3"/>
      <c r="B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5"/>
  </cols>
  <sheetData>
    <row r="1">
      <c r="A1" s="1" t="s">
        <v>0</v>
      </c>
      <c r="B1" s="1" t="s">
        <v>1</v>
      </c>
    </row>
    <row r="2">
      <c r="A2" s="1">
        <f>90</f>
        <v>90</v>
      </c>
      <c r="B2" s="2">
        <f>-54.5</f>
        <v>-54.5</v>
      </c>
    </row>
    <row r="3">
      <c r="A3" s="2">
        <f>45</f>
        <v>45</v>
      </c>
      <c r="B3" s="1">
        <f>-37.1</f>
        <v>-37.1</v>
      </c>
    </row>
    <row r="4">
      <c r="A4" s="3">
        <f>360</f>
        <v>360</v>
      </c>
      <c r="B4" s="4">
        <f>-85</f>
        <v>-85</v>
      </c>
    </row>
    <row r="5">
      <c r="A5" s="2">
        <f>315</f>
        <v>315</v>
      </c>
      <c r="B5" s="2">
        <f>-88.7</f>
        <v>-88.7</v>
      </c>
    </row>
    <row r="6">
      <c r="A6" s="2">
        <f>270</f>
        <v>270</v>
      </c>
      <c r="B6" s="2">
        <f>-88.9</f>
        <v>-88.9</v>
      </c>
    </row>
    <row r="7">
      <c r="A7" s="2">
        <f>225</f>
        <v>225</v>
      </c>
      <c r="B7" s="2">
        <f>-43.2</f>
        <v>-43.2</v>
      </c>
    </row>
    <row r="8">
      <c r="A8" s="2">
        <f>180</f>
        <v>180</v>
      </c>
      <c r="B8" s="2">
        <f>-53.7</f>
        <v>-53.7</v>
      </c>
    </row>
    <row r="9">
      <c r="A9" s="2">
        <f>135</f>
        <v>135</v>
      </c>
      <c r="B9" s="2">
        <f>-61.4</f>
        <v>-61.4</v>
      </c>
    </row>
  </sheetData>
  <drawing r:id="rId1"/>
</worksheet>
</file>